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hidePivotFieldList="1" defaultThemeVersion="166925"/>
  <xr:revisionPtr revIDLastSave="0" documentId="8_{42A3026A-C85A-4065-B296-CEFA4E527E91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Dashboard" sheetId="1" r:id="rId1"/>
    <sheet name="Budget Category" sheetId="2" r:id="rId2"/>
    <sheet name="Dept Calculator" sheetId="3" r:id="rId3"/>
  </sheets>
  <calcPr calcId="191028"/>
  <pivotCaches>
    <pivotCache cacheId="49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2" i="1" l="1"/>
  <c r="I24" i="1"/>
  <c r="H24" i="1"/>
  <c r="G24" i="1"/>
  <c r="D12" i="2"/>
  <c r="D13" i="2"/>
  <c r="D14" i="2"/>
  <c r="D15" i="2"/>
  <c r="D16" i="2"/>
  <c r="D17" i="2"/>
  <c r="D18" i="2"/>
  <c r="D11" i="2"/>
  <c r="D19" i="2" s="1"/>
  <c r="E11" i="2"/>
  <c r="E12" i="2"/>
  <c r="E13" i="2"/>
  <c r="E14" i="2"/>
  <c r="E15" i="2"/>
  <c r="E16" i="2"/>
  <c r="E17" i="2"/>
  <c r="E18" i="2"/>
  <c r="H22" i="1"/>
  <c r="G23" i="1"/>
  <c r="G22" i="1"/>
  <c r="G25" i="1" s="1"/>
  <c r="G26" i="1" s="1"/>
  <c r="C23" i="1"/>
  <c r="C24" i="1"/>
  <c r="C22" i="1"/>
  <c r="C12" i="1"/>
  <c r="C13" i="1"/>
  <c r="C14" i="1"/>
  <c r="C15" i="1"/>
  <c r="C16" i="1"/>
  <c r="C17" i="1"/>
  <c r="C18" i="1"/>
  <c r="C11" i="1"/>
  <c r="C19" i="1" s="1"/>
  <c r="C6" i="1"/>
  <c r="C7" i="1"/>
  <c r="C5" i="1"/>
  <c r="B12" i="1"/>
  <c r="D12" i="1" s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1" i="1"/>
  <c r="B6" i="1"/>
  <c r="D6" i="1" s="1"/>
  <c r="B7" i="1"/>
  <c r="D7" i="1" s="1"/>
  <c r="B5" i="1"/>
  <c r="B25" i="2"/>
  <c r="B19" i="2"/>
  <c r="B8" i="2"/>
  <c r="B29" i="2" s="1"/>
  <c r="E19" i="2" l="1"/>
  <c r="H23" i="1" s="1"/>
  <c r="G28" i="1"/>
  <c r="G27" i="1"/>
  <c r="G29" i="1"/>
  <c r="C8" i="1"/>
  <c r="B24" i="1"/>
  <c r="D24" i="1"/>
  <c r="B23" i="1"/>
  <c r="D23" i="1"/>
  <c r="B22" i="1"/>
  <c r="B25" i="1" s="1"/>
  <c r="C25" i="1"/>
  <c r="D22" i="1"/>
  <c r="D25" i="1" s="1"/>
  <c r="D5" i="1"/>
  <c r="D8" i="1" s="1"/>
  <c r="B8" i="1"/>
  <c r="A98" i="1" s="1"/>
  <c r="B19" i="1"/>
  <c r="B98" i="1" s="1"/>
  <c r="D11" i="1"/>
  <c r="D19" i="1" s="1"/>
  <c r="I23" i="1" l="1"/>
  <c r="I25" i="1" s="1"/>
  <c r="H25" i="1"/>
  <c r="B27" i="1"/>
  <c r="H29" i="1" l="1"/>
  <c r="H30" i="1" s="1"/>
  <c r="H26" i="1"/>
  <c r="I26" i="1"/>
  <c r="I29" i="1"/>
  <c r="I30" i="1" s="1"/>
  <c r="I27" i="1" l="1"/>
  <c r="I31" i="1"/>
  <c r="I28" i="1"/>
  <c r="H28" i="1"/>
  <c r="H27" i="1"/>
  <c r="H31" i="1"/>
</calcChain>
</file>

<file path=xl/sharedStrings.xml><?xml version="1.0" encoding="utf-8"?>
<sst xmlns="http://schemas.openxmlformats.org/spreadsheetml/2006/main" count="138" uniqueCount="64">
  <si>
    <t>PERSONAL BUDGET TRACKER</t>
  </si>
  <si>
    <t>BUDGET BREAKDOWN</t>
  </si>
  <si>
    <t>Income</t>
  </si>
  <si>
    <t xml:space="preserve"> Tracked </t>
  </si>
  <si>
    <t xml:space="preserve"> Budget </t>
  </si>
  <si>
    <t xml:space="preserve"> Remaining </t>
  </si>
  <si>
    <t>Employment</t>
  </si>
  <si>
    <t>Side Hustle</t>
  </si>
  <si>
    <t>Passive Income</t>
  </si>
  <si>
    <t>Total</t>
  </si>
  <si>
    <t xml:space="preserve">  </t>
  </si>
  <si>
    <t>Expense</t>
  </si>
  <si>
    <t>Food</t>
  </si>
  <si>
    <t>Transportation</t>
  </si>
  <si>
    <t>Car</t>
  </si>
  <si>
    <t>Dept</t>
  </si>
  <si>
    <t>Phone Service</t>
  </si>
  <si>
    <t>Credit</t>
  </si>
  <si>
    <t>Body Care</t>
  </si>
  <si>
    <t>Groceries</t>
  </si>
  <si>
    <t>DEBT CALCULATOR DASHBOARD</t>
  </si>
  <si>
    <t>Savings</t>
  </si>
  <si>
    <t>Results</t>
  </si>
  <si>
    <t>Current Plan</t>
  </si>
  <si>
    <t>Cut Spending</t>
  </si>
  <si>
    <t>Cut + lump sum</t>
  </si>
  <si>
    <t>Emergency Funds</t>
  </si>
  <si>
    <t>Starting Balance</t>
  </si>
  <si>
    <t>Investment</t>
  </si>
  <si>
    <t>Monthly payment</t>
  </si>
  <si>
    <t>Extra Savings</t>
  </si>
  <si>
    <t>Monthly interest rate</t>
  </si>
  <si>
    <t>Months to pay off (exact)</t>
  </si>
  <si>
    <t>Months (round up)</t>
  </si>
  <si>
    <t xml:space="preserve">TOTAL </t>
  </si>
  <si>
    <t>Time to debt-free</t>
  </si>
  <si>
    <t>Estimated payoff date</t>
  </si>
  <si>
    <t>Total interest paid</t>
  </si>
  <si>
    <t>Interest saved vs current plan</t>
  </si>
  <si>
    <t>-</t>
  </si>
  <si>
    <t>Months saved vs current plan</t>
  </si>
  <si>
    <t>Sum of Income</t>
  </si>
  <si>
    <t>Sum of Expense</t>
  </si>
  <si>
    <t>BUDGET CATEGORY</t>
  </si>
  <si>
    <t>EXPENSE INPUT TRACKER</t>
  </si>
  <si>
    <t>DATE</t>
  </si>
  <si>
    <t>Type</t>
  </si>
  <si>
    <t>CATEGORY</t>
  </si>
  <si>
    <t>AMOUNT</t>
  </si>
  <si>
    <t>Monthly ($)</t>
  </si>
  <si>
    <t>Cuttable? (Y/N)</t>
  </si>
  <si>
    <t>After cut ($)</t>
  </si>
  <si>
    <t>Freed up ($)</t>
  </si>
  <si>
    <t>Y</t>
  </si>
  <si>
    <t>N</t>
  </si>
  <si>
    <t>NOT ALLOTED</t>
  </si>
  <si>
    <t>MONTH</t>
  </si>
  <si>
    <t>Dept Payoff Calculator</t>
  </si>
  <si>
    <t>INPUTS</t>
  </si>
  <si>
    <t>Debt Balance</t>
  </si>
  <si>
    <t>Interest Rate</t>
  </si>
  <si>
    <t>Current Monthly Payment</t>
  </si>
  <si>
    <t>Spending Cut %</t>
  </si>
  <si>
    <t>Lump Sum From Savings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</si>
</sst>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$&quot;#,##0"/>
    <numFmt numFmtId="166" formatCode="0.0"/>
    <numFmt numFmtId="167" formatCode="[$-409]mmmm\ d\,\ yyyy;@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FFFFFF"/>
      <name val="Calibri"/>
      <family val="2"/>
    </font>
    <font>
      <sz val="10.5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A6A6A6"/>
      <name val="Calibri"/>
      <family val="2"/>
    </font>
    <font>
      <b/>
      <sz val="11"/>
      <color theme="0"/>
      <name val="Calibri"/>
      <family val="2"/>
    </font>
    <font>
      <sz val="11"/>
      <color theme="2" tint="-9.9978637043366805E-2"/>
      <name val="Calibri"/>
      <family val="2"/>
      <scheme val="minor"/>
    </font>
    <font>
      <b/>
      <sz val="36"/>
      <color theme="7" tint="-0.249977111117893"/>
      <name val="Consolas"/>
    </font>
    <font>
      <sz val="11"/>
      <color theme="0"/>
      <name val="Calibri"/>
      <family val="2"/>
      <scheme val="minor"/>
    </font>
    <font>
      <b/>
      <sz val="10.5"/>
      <color theme="0"/>
      <name val="Calibri"/>
      <family val="2"/>
    </font>
    <font>
      <b/>
      <sz val="18"/>
      <color theme="7" tint="-0.249977111117893"/>
      <name val="Calibri"/>
      <family val="2"/>
      <scheme val="minor"/>
    </font>
    <font>
      <b/>
      <sz val="20"/>
      <color theme="7" tint="-0.249977111117893"/>
      <name val="Calibri"/>
      <family val="2"/>
      <scheme val="minor"/>
    </font>
    <font>
      <b/>
      <sz val="20"/>
      <color theme="7" tint="-0.249977111117893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7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78010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2EFDA"/>
        <bgColor rgb="FF548235"/>
      </patternFill>
    </fill>
    <fill>
      <patternFill patternType="solid">
        <fgColor rgb="FFE2EFDA"/>
        <bgColor rgb="FF70AD47"/>
      </patternFill>
    </fill>
    <fill>
      <patternFill patternType="solid">
        <fgColor rgb="FFFF9B9B"/>
        <bgColor rgb="FFC65911"/>
      </patternFill>
    </fill>
    <fill>
      <patternFill patternType="solid">
        <fgColor rgb="FFFF9B9B"/>
        <bgColor rgb="FFED7D31"/>
      </patternFill>
    </fill>
    <fill>
      <patternFill patternType="solid">
        <fgColor rgb="FF9BC2E6"/>
        <bgColor rgb="FF2F75B5"/>
      </patternFill>
    </fill>
    <fill>
      <patternFill patternType="solid">
        <fgColor rgb="FF9BC2E6"/>
        <bgColor rgb="FF5B9BD5"/>
      </patternFill>
    </fill>
    <fill>
      <patternFill patternType="solid">
        <fgColor rgb="FFE2EFDA"/>
        <bgColor rgb="FF000000"/>
      </patternFill>
    </fill>
    <fill>
      <patternFill patternType="solid">
        <fgColor rgb="FFFF9B9B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FFFFF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14" fontId="0" fillId="0" borderId="0" xfId="0" applyNumberFormat="1"/>
    <xf numFmtId="0" fontId="3" fillId="0" borderId="0" xfId="0" applyFont="1" applyFill="1" applyBorder="1" applyAlignment="1"/>
    <xf numFmtId="0" fontId="2" fillId="2" borderId="0" xfId="0" applyFont="1" applyFill="1" applyBorder="1" applyAlignment="1"/>
    <xf numFmtId="0" fontId="2" fillId="3" borderId="0" xfId="0" applyFont="1" applyFill="1" applyBorder="1" applyAlignment="1"/>
    <xf numFmtId="0" fontId="2" fillId="4" borderId="0" xfId="0" applyFont="1" applyFill="1" applyBorder="1" applyAlignment="1"/>
    <xf numFmtId="0" fontId="4" fillId="0" borderId="0" xfId="0" applyFont="1" applyFill="1" applyBorder="1" applyAlignment="1"/>
    <xf numFmtId="164" fontId="0" fillId="0" borderId="0" xfId="0" applyNumberFormat="1"/>
    <xf numFmtId="165" fontId="4" fillId="0" borderId="0" xfId="0" applyNumberFormat="1" applyFont="1" applyFill="1" applyBorder="1" applyAlignment="1"/>
    <xf numFmtId="165" fontId="0" fillId="0" borderId="0" xfId="0" applyNumberFormat="1"/>
    <xf numFmtId="165" fontId="0" fillId="15" borderId="0" xfId="0" applyNumberFormat="1" applyFill="1"/>
    <xf numFmtId="165" fontId="0" fillId="0" borderId="0" xfId="0" applyNumberFormat="1" applyAlignment="1"/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9" fillId="17" borderId="0" xfId="0" applyFont="1" applyFill="1" applyAlignment="1">
      <alignment horizontal="center" vertical="center"/>
    </xf>
    <xf numFmtId="0" fontId="0" fillId="0" borderId="0" xfId="0" applyFont="1"/>
    <xf numFmtId="165" fontId="0" fillId="0" borderId="0" xfId="0" applyNumberFormat="1" applyFont="1"/>
    <xf numFmtId="10" fontId="0" fillId="0" borderId="0" xfId="0" applyNumberFormat="1" applyFont="1"/>
    <xf numFmtId="166" fontId="0" fillId="0" borderId="0" xfId="0" applyNumberFormat="1" applyFont="1"/>
    <xf numFmtId="0" fontId="0" fillId="0" borderId="0" xfId="0" applyFont="1" applyAlignment="1">
      <alignment horizontal="right"/>
    </xf>
    <xf numFmtId="167" fontId="0" fillId="0" borderId="0" xfId="0" applyNumberFormat="1" applyFont="1"/>
    <xf numFmtId="0" fontId="10" fillId="17" borderId="0" xfId="0" applyFont="1" applyFill="1" applyAlignment="1"/>
    <xf numFmtId="165" fontId="0" fillId="18" borderId="0" xfId="0" applyNumberFormat="1" applyFill="1" applyAlignment="1"/>
    <xf numFmtId="0" fontId="11" fillId="19" borderId="1" xfId="0" applyFont="1" applyFill="1" applyBorder="1" applyAlignment="1"/>
    <xf numFmtId="165" fontId="0" fillId="16" borderId="2" xfId="0" applyNumberFormat="1" applyFill="1" applyBorder="1"/>
    <xf numFmtId="0" fontId="12" fillId="19" borderId="0" xfId="0" applyFont="1" applyFill="1" applyAlignment="1">
      <alignment horizontal="center"/>
    </xf>
    <xf numFmtId="0" fontId="13" fillId="17" borderId="0" xfId="0" applyFont="1" applyFill="1" applyAlignment="1">
      <alignment horizontal="center"/>
    </xf>
    <xf numFmtId="0" fontId="13" fillId="19" borderId="0" xfId="0" applyFont="1" applyFill="1" applyAlignment="1">
      <alignment horizontal="center"/>
    </xf>
    <xf numFmtId="14" fontId="12" fillId="19" borderId="0" xfId="0" applyNumberFormat="1" applyFont="1" applyFill="1" applyAlignment="1">
      <alignment horizontal="center" vertical="center"/>
    </xf>
    <xf numFmtId="0" fontId="14" fillId="19" borderId="3" xfId="0" applyFont="1" applyFill="1" applyBorder="1" applyAlignment="1"/>
    <xf numFmtId="0" fontId="14" fillId="19" borderId="0" xfId="0" applyFont="1" applyFill="1" applyBorder="1" applyAlignment="1"/>
    <xf numFmtId="0" fontId="14" fillId="19" borderId="0" xfId="0" applyFont="1" applyFill="1" applyBorder="1" applyAlignment="1">
      <alignment horizontal="center"/>
    </xf>
    <xf numFmtId="0" fontId="5" fillId="5" borderId="0" xfId="0" applyFont="1" applyFill="1" applyBorder="1" applyAlignment="1"/>
    <xf numFmtId="0" fontId="5" fillId="6" borderId="0" xfId="0" applyFont="1" applyFill="1" applyBorder="1" applyAlignment="1"/>
    <xf numFmtId="0" fontId="5" fillId="7" borderId="0" xfId="0" applyFont="1" applyFill="1" applyBorder="1" applyAlignment="1"/>
    <xf numFmtId="0" fontId="5" fillId="8" borderId="0" xfId="0" applyFont="1" applyFill="1" applyBorder="1" applyAlignment="1"/>
    <xf numFmtId="0" fontId="5" fillId="9" borderId="0" xfId="0" applyFont="1" applyFill="1" applyBorder="1" applyAlignment="1"/>
    <xf numFmtId="0" fontId="5" fillId="10" borderId="0" xfId="0" applyFont="1" applyFill="1" applyBorder="1" applyAlignment="1"/>
    <xf numFmtId="0" fontId="0" fillId="19" borderId="0" xfId="0" applyFill="1"/>
    <xf numFmtId="0" fontId="13" fillId="19" borderId="0" xfId="0" applyFont="1" applyFill="1"/>
    <xf numFmtId="0" fontId="7" fillId="19" borderId="7" xfId="0" applyFont="1" applyFill="1" applyBorder="1" applyAlignment="1"/>
    <xf numFmtId="0" fontId="6" fillId="14" borderId="11" xfId="0" applyFont="1" applyFill="1" applyBorder="1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15" fillId="11" borderId="4" xfId="0" applyNumberFormat="1" applyFont="1" applyFill="1" applyBorder="1" applyAlignment="1"/>
    <xf numFmtId="165" fontId="15" fillId="11" borderId="10" xfId="0" applyNumberFormat="1" applyFont="1" applyFill="1" applyBorder="1" applyAlignment="1"/>
    <xf numFmtId="165" fontId="16" fillId="16" borderId="6" xfId="0" applyNumberFormat="1" applyFont="1" applyFill="1" applyBorder="1" applyAlignment="1"/>
    <xf numFmtId="165" fontId="15" fillId="12" borderId="4" xfId="0" applyNumberFormat="1" applyFont="1" applyFill="1" applyBorder="1" applyAlignment="1"/>
    <xf numFmtId="165" fontId="15" fillId="12" borderId="10" xfId="0" applyNumberFormat="1" applyFont="1" applyFill="1" applyBorder="1" applyAlignment="1"/>
    <xf numFmtId="0" fontId="17" fillId="0" borderId="0" xfId="0" applyFont="1"/>
    <xf numFmtId="165" fontId="18" fillId="16" borderId="8" xfId="0" applyNumberFormat="1" applyFont="1" applyFill="1" applyBorder="1"/>
    <xf numFmtId="165" fontId="18" fillId="16" borderId="9" xfId="0" applyNumberFormat="1" applyFont="1" applyFill="1" applyBorder="1"/>
    <xf numFmtId="165" fontId="15" fillId="13" borderId="4" xfId="0" applyNumberFormat="1" applyFont="1" applyFill="1" applyBorder="1" applyAlignment="1"/>
    <xf numFmtId="165" fontId="15" fillId="13" borderId="10" xfId="0" applyNumberFormat="1" applyFont="1" applyFill="1" applyBorder="1" applyAlignment="1"/>
    <xf numFmtId="165" fontId="17" fillId="16" borderId="6" xfId="0" applyNumberFormat="1" applyFont="1" applyFill="1" applyBorder="1"/>
    <xf numFmtId="14" fontId="17" fillId="0" borderId="0" xfId="0" applyNumberFormat="1" applyFont="1" applyAlignment="1">
      <alignment horizontal="left"/>
    </xf>
    <xf numFmtId="14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164" fontId="17" fillId="0" borderId="0" xfId="0" applyNumberFormat="1" applyFont="1"/>
    <xf numFmtId="0" fontId="17" fillId="0" borderId="0" xfId="0" applyFont="1" applyAlignment="1">
      <alignment horizontal="left"/>
    </xf>
    <xf numFmtId="164" fontId="17" fillId="0" borderId="0" xfId="0" applyNumberFormat="1" applyFont="1" applyAlignment="1"/>
    <xf numFmtId="0" fontId="19" fillId="19" borderId="0" xfId="0" applyFont="1" applyFill="1"/>
    <xf numFmtId="0" fontId="20" fillId="19" borderId="0" xfId="0" applyFont="1" applyFill="1"/>
    <xf numFmtId="165" fontId="18" fillId="18" borderId="5" xfId="0" applyNumberFormat="1" applyFont="1" applyFill="1" applyBorder="1"/>
    <xf numFmtId="10" fontId="18" fillId="18" borderId="5" xfId="0" applyNumberFormat="1" applyFont="1" applyFill="1" applyBorder="1"/>
    <xf numFmtId="164" fontId="18" fillId="18" borderId="5" xfId="0" applyNumberFormat="1" applyFont="1" applyFill="1" applyBorder="1"/>
    <xf numFmtId="0" fontId="21" fillId="20" borderId="0" xfId="0" applyFont="1" applyFill="1"/>
    <xf numFmtId="0" fontId="17" fillId="21" borderId="0" xfId="0" applyFont="1" applyFill="1" applyAlignment="1">
      <alignment horizontal="center" vertical="center" wrapText="1"/>
    </xf>
    <xf numFmtId="165" fontId="17" fillId="21" borderId="0" xfId="0" applyNumberFormat="1" applyFont="1" applyFill="1"/>
  </cellXfs>
  <cellStyles count="1">
    <cellStyle name="Normal" xfId="0" builtinId="0"/>
  </cellStyles>
  <dxfs count="16">
    <dxf>
      <font>
        <sz val="14"/>
      </font>
      <numFmt numFmtId="164" formatCode="&quot;$&quot;#,##0.00"/>
    </dxf>
    <dxf>
      <font>
        <sz val="14"/>
      </font>
      <alignment horizontal="general" vertical="center"/>
    </dxf>
    <dxf>
      <font>
        <sz val="14"/>
      </font>
      <numFmt numFmtId="19" formatCode="m/d/yyyy"/>
      <alignment horizontal="general" vertical="center"/>
    </dxf>
    <dxf>
      <font>
        <sz val="14"/>
      </font>
      <numFmt numFmtId="19" formatCode="m/d/yyyy"/>
      <alignment horizontal="left"/>
    </dxf>
    <dxf>
      <font>
        <sz val="14"/>
      </font>
    </dxf>
    <dxf>
      <font>
        <b val="0"/>
        <sz val="14"/>
        <color theme="1"/>
      </font>
    </dxf>
    <dxf>
      <font>
        <color theme="1"/>
      </font>
    </dxf>
    <dxf>
      <font>
        <color theme="1"/>
      </font>
    </dxf>
    <dxf>
      <font>
        <color theme="1"/>
      </font>
      <alignment horizontal="right" vertical="bottom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78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BUDGET TRACKER.xlsx]Dashboard!PivotTable5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Dashboard!$A$100</c:f>
              <c:strCache>
                <c:ptCount val="1"/>
                <c:pt idx="0">
                  <c:v>Sum of Income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Dashboard!$A$101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Dashboard!$A$101</c:f>
              <c:numCache>
                <c:formatCode>"$"#,##0</c:formatCode>
                <c:ptCount val="1"/>
                <c:pt idx="0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B-4B4A-B935-5961AB01C82D}"/>
            </c:ext>
          </c:extLst>
        </c:ser>
        <c:ser>
          <c:idx val="1"/>
          <c:order val="1"/>
          <c:tx>
            <c:strRef>
              <c:f>Dashboard!$B$100</c:f>
              <c:strCache>
                <c:ptCount val="1"/>
                <c:pt idx="0">
                  <c:v>Sum of Expense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Dashboard!$A$101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Dashboard!$B$101</c:f>
              <c:numCache>
                <c:formatCode>"$"#,##0</c:formatCode>
                <c:ptCount val="1"/>
                <c:pt idx="0">
                  <c:v>4602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BB-4B4A-B935-5961AB01C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643143"/>
        <c:axId val="631645191"/>
      </c:barChart>
      <c:catAx>
        <c:axId val="6316431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1645191"/>
        <c:crosses val="autoZero"/>
        <c:auto val="1"/>
        <c:lblAlgn val="ctr"/>
        <c:lblOffset val="100"/>
        <c:noMultiLvlLbl val="0"/>
      </c:catAx>
      <c:valAx>
        <c:axId val="631645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43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790575</xdr:colOff>
      <xdr:row>1</xdr:row>
      <xdr:rowOff>152400</xdr:rowOff>
    </xdr:from>
    <xdr:to>
      <xdr:col>9</xdr:col>
      <xdr:colOff>123825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27D2C-88C5-9A05-5558-B7D7F0090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2.854145370373" createdVersion="8" refreshedVersion="8" minRefreshableVersion="3" recordCount="1" xr:uid="{74E3B33F-5AB9-4860-9A18-634F9DA701E7}">
  <cacheSource type="worksheet">
    <worksheetSource ref="A97:B98" sheet="Dashboard"/>
  </cacheSource>
  <cacheFields count="2">
    <cacheField name="Income" numFmtId="165">
      <sharedItems containsSemiMixedTypes="0" containsString="0" containsNumber="1" containsInteger="1" minValue="4000" maxValue="4000"/>
    </cacheField>
    <cacheField name="Expense" numFmtId="165">
      <sharedItems containsSemiMixedTypes="0" containsString="0" containsNumber="1" containsInteger="1" minValue="4602" maxValue="46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4000"/>
    <n v="46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30614-5EF2-48EE-B6D9-AF08A5133343}" name="PivotTable5" cacheId="4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00:B101" firstHeaderRow="0" firstDataRow="1" firstDataCol="0"/>
  <pivotFields count="2">
    <pivotField dataField="1" compact="0" numFmtId="165" outline="0" showAll="0"/>
    <pivotField dataField="1" compact="0" numFmtId="165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Income" fld="0" baseField="0" baseItem="0" numFmtId="165"/>
    <dataField name="Sum of Expense" fld="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86DC92-2F30-4AA2-A7E0-DE0854B20EC1}" name="Table2" displayName="Table2" ref="F21:I31" totalsRowShown="0" headerRowDxfId="11" dataDxfId="10">
  <autoFilter ref="F21:I31" xr:uid="{BA86DC92-2F30-4AA2-A7E0-DE0854B20EC1}"/>
  <tableColumns count="4">
    <tableColumn id="1" xr3:uid="{B1F71DF3-F17A-4007-9C4E-BE543F3E61DD}" name="Results" dataDxfId="9"/>
    <tableColumn id="2" xr3:uid="{61881E25-5C35-4674-94C3-3E47D86D29F4}" name="Current Plan" dataDxfId="8"/>
    <tableColumn id="3" xr3:uid="{085295EF-694A-4A4B-94DF-EF4F5709CB96}" name="Cut Spending" dataDxfId="7"/>
    <tableColumn id="4" xr3:uid="{8C380F76-94A6-485E-98AA-441ACD6C36C7}" name="Cut + lump sum" dataDxfId="6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1961D-764A-4081-9569-4E51F8DCC5CC}" name="Table1" displayName="Table1" ref="K3:N23" totalsRowShown="0" headerRowDxfId="5" dataDxfId="4">
  <autoFilter ref="K3:N23" xr:uid="{DBB1961D-764A-4081-9569-4E51F8DCC5CC}"/>
  <tableColumns count="4">
    <tableColumn id="1" xr3:uid="{D3F9F93B-94FD-44B3-B1EE-5AC6228F6A8A}" name="DATE" dataDxfId="3"/>
    <tableColumn id="4" xr3:uid="{FB895064-48C5-46B7-8D79-7455541F2E6F}" name="Type" dataDxfId="2"/>
    <tableColumn id="2" xr3:uid="{949A6127-E387-40B9-B1AF-F0A742A6C252}" name="CATEGORY" dataDxfId="1"/>
    <tableColumn id="3" xr3:uid="{9CE18C6B-06EF-4DF0-A8BA-9F5A94A70482}" name="AMOUNT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showGridLines="0" workbookViewId="0">
      <pane xSplit="13" ySplit="35" topLeftCell="N36" activePane="bottomRight" state="frozen"/>
      <selection pane="bottomRight" activeCell="L35" sqref="L35"/>
      <selection pane="bottomLeft"/>
      <selection pane="topRight"/>
    </sheetView>
  </sheetViews>
  <sheetFormatPr defaultRowHeight="15"/>
  <cols>
    <col min="1" max="1" width="14.5703125" customWidth="1"/>
    <col min="2" max="2" width="15.28515625" customWidth="1"/>
    <col min="3" max="5" width="14.85546875" customWidth="1"/>
    <col min="6" max="9" width="29.85546875" customWidth="1"/>
    <col min="10" max="10" width="16.42578125" customWidth="1"/>
  </cols>
  <sheetData>
    <row r="1" spans="1:14" ht="99.7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4">
      <c r="G2" s="15"/>
      <c r="H2" s="15"/>
      <c r="I2" s="15"/>
      <c r="J2" s="15"/>
      <c r="K2" s="15"/>
      <c r="L2" s="15"/>
      <c r="M2" s="15"/>
      <c r="N2" s="15"/>
    </row>
    <row r="3" spans="1:14" ht="26.25">
      <c r="A3" s="28" t="s">
        <v>1</v>
      </c>
      <c r="B3" s="28"/>
      <c r="C3" s="28"/>
      <c r="D3" s="28"/>
    </row>
    <row r="4" spans="1:14">
      <c r="A4" s="3" t="s">
        <v>2</v>
      </c>
      <c r="B4" s="3" t="s">
        <v>3</v>
      </c>
      <c r="C4" s="3" t="s">
        <v>4</v>
      </c>
      <c r="D4" s="3" t="s">
        <v>5</v>
      </c>
    </row>
    <row r="5" spans="1:14">
      <c r="A5" s="2" t="s">
        <v>6</v>
      </c>
      <c r="B5" s="9">
        <f>SUMIF(Table1[CATEGORY],Dashboard!A5,Table1[AMOUNT])</f>
        <v>4000</v>
      </c>
      <c r="C5" s="9">
        <f>'Budget Category'!B5</f>
        <v>4000</v>
      </c>
      <c r="D5" s="10">
        <f>B5-C5</f>
        <v>0</v>
      </c>
    </row>
    <row r="6" spans="1:14">
      <c r="A6" s="2" t="s">
        <v>7</v>
      </c>
      <c r="B6" s="9">
        <f>SUMIF(Table1[CATEGORY],Dashboard!A6,Table1[AMOUNT])</f>
        <v>0</v>
      </c>
      <c r="C6" s="9">
        <f>'Budget Category'!B6</f>
        <v>0</v>
      </c>
      <c r="D6" s="10">
        <f t="shared" ref="D6:D7" si="0">B6-C6</f>
        <v>0</v>
      </c>
    </row>
    <row r="7" spans="1:14">
      <c r="A7" s="2" t="s">
        <v>8</v>
      </c>
      <c r="B7" s="9">
        <f>SUMIF(Table1[CATEGORY],Dashboard!A7,Table1[AMOUNT])</f>
        <v>0</v>
      </c>
      <c r="C7" s="9">
        <f>'Budget Category'!B7</f>
        <v>0</v>
      </c>
      <c r="D7" s="10">
        <f t="shared" si="0"/>
        <v>0</v>
      </c>
    </row>
    <row r="8" spans="1:14">
      <c r="A8" s="25" t="s">
        <v>9</v>
      </c>
      <c r="B8" s="26">
        <f>SUM(B5:B7)</f>
        <v>4000</v>
      </c>
      <c r="C8" s="26">
        <f>SUM(C5:C7)</f>
        <v>4000</v>
      </c>
      <c r="D8" s="26">
        <f>SUM(D5:D7)</f>
        <v>0</v>
      </c>
    </row>
    <row r="9" spans="1:14">
      <c r="A9" s="2"/>
      <c r="B9" s="2" t="s">
        <v>10</v>
      </c>
      <c r="C9" s="2" t="s">
        <v>10</v>
      </c>
      <c r="D9" s="2"/>
      <c r="E9" s="2" t="s">
        <v>10</v>
      </c>
    </row>
    <row r="10" spans="1:14">
      <c r="A10" s="4" t="s">
        <v>11</v>
      </c>
      <c r="B10" s="4" t="s">
        <v>3</v>
      </c>
      <c r="C10" s="4" t="s">
        <v>4</v>
      </c>
      <c r="D10" s="4" t="s">
        <v>5</v>
      </c>
    </row>
    <row r="11" spans="1:14">
      <c r="A11" s="2" t="s">
        <v>12</v>
      </c>
      <c r="B11" s="9">
        <f>SUMIF(Table1[CATEGORY],Dashboard!A11,Table1[AMOUNT])</f>
        <v>742</v>
      </c>
      <c r="C11" s="9">
        <f>'Budget Category'!B11</f>
        <v>700</v>
      </c>
      <c r="D11" s="10">
        <f>C11-B11</f>
        <v>-42</v>
      </c>
    </row>
    <row r="12" spans="1:14">
      <c r="A12" s="2" t="s">
        <v>13</v>
      </c>
      <c r="B12" s="9">
        <f>SUMIF(Table1[CATEGORY],Dashboard!A12,Table1[AMOUNT])</f>
        <v>800</v>
      </c>
      <c r="C12" s="9">
        <f>'Budget Category'!B12</f>
        <v>190</v>
      </c>
      <c r="D12" s="10">
        <f t="shared" ref="D12:D18" si="1">C12-B12</f>
        <v>-610</v>
      </c>
    </row>
    <row r="13" spans="1:14">
      <c r="A13" s="2" t="s">
        <v>14</v>
      </c>
      <c r="B13" s="9">
        <f>SUMIF(Table1[CATEGORY],Dashboard!A13,Table1[AMOUNT])</f>
        <v>140</v>
      </c>
      <c r="C13" s="9">
        <f>'Budget Category'!B13</f>
        <v>800</v>
      </c>
      <c r="D13" s="10">
        <f t="shared" si="1"/>
        <v>660</v>
      </c>
    </row>
    <row r="14" spans="1:14">
      <c r="A14" s="2" t="s">
        <v>15</v>
      </c>
      <c r="B14" s="9">
        <f>SUMIF(Table1[CATEGORY],Dashboard!A14,Table1[AMOUNT])</f>
        <v>820</v>
      </c>
      <c r="C14" s="9">
        <f>'Budget Category'!B14</f>
        <v>350</v>
      </c>
      <c r="D14" s="10">
        <f t="shared" si="1"/>
        <v>-470</v>
      </c>
    </row>
    <row r="15" spans="1:14">
      <c r="A15" s="2" t="s">
        <v>16</v>
      </c>
      <c r="B15" s="9">
        <f>SUMIF(Table1[CATEGORY],Dashboard!A15,Table1[AMOUNT])</f>
        <v>200</v>
      </c>
      <c r="C15" s="9">
        <f>'Budget Category'!B15</f>
        <v>60</v>
      </c>
      <c r="D15" s="10">
        <f t="shared" si="1"/>
        <v>-140</v>
      </c>
    </row>
    <row r="16" spans="1:14">
      <c r="A16" s="2" t="s">
        <v>17</v>
      </c>
      <c r="B16" s="9">
        <f>SUMIF(Table1[CATEGORY],Dashboard!A16,Table1[AMOUNT])</f>
        <v>400</v>
      </c>
      <c r="C16" s="9">
        <f>'Budget Category'!B16</f>
        <v>600</v>
      </c>
      <c r="D16" s="10">
        <f t="shared" si="1"/>
        <v>200</v>
      </c>
    </row>
    <row r="17" spans="1:12">
      <c r="A17" s="2" t="s">
        <v>18</v>
      </c>
      <c r="B17" s="9">
        <f>SUMIF(Table1[CATEGORY],Dashboard!A17,Table1[AMOUNT])</f>
        <v>150</v>
      </c>
      <c r="C17" s="9">
        <f>'Budget Category'!B17</f>
        <v>150</v>
      </c>
      <c r="D17" s="10">
        <f t="shared" si="1"/>
        <v>0</v>
      </c>
    </row>
    <row r="18" spans="1:12">
      <c r="A18" s="2" t="s">
        <v>19</v>
      </c>
      <c r="B18" s="9">
        <f>SUMIF(Table1[CATEGORY],Dashboard!A18,Table1[AMOUNT])</f>
        <v>1000</v>
      </c>
      <c r="C18" s="9">
        <f>'Budget Category'!B18</f>
        <v>800</v>
      </c>
      <c r="D18" s="10">
        <f t="shared" si="1"/>
        <v>-200</v>
      </c>
    </row>
    <row r="19" spans="1:12">
      <c r="A19" s="25" t="s">
        <v>9</v>
      </c>
      <c r="B19" s="26">
        <f>SUM(B11:B18)</f>
        <v>4252</v>
      </c>
      <c r="C19" s="26">
        <f t="shared" ref="C19:D19" si="2">SUM(C11:C18)</f>
        <v>3650</v>
      </c>
      <c r="D19" s="26">
        <f t="shared" si="2"/>
        <v>-602</v>
      </c>
    </row>
    <row r="20" spans="1:12" ht="23.25">
      <c r="A20" s="2"/>
      <c r="B20" s="2" t="s">
        <v>10</v>
      </c>
      <c r="C20" s="2" t="s">
        <v>10</v>
      </c>
      <c r="D20" s="2" t="s">
        <v>10</v>
      </c>
      <c r="F20" s="27" t="s">
        <v>20</v>
      </c>
      <c r="G20" s="27"/>
      <c r="H20" s="27"/>
      <c r="I20" s="27"/>
    </row>
    <row r="21" spans="1:12">
      <c r="A21" s="5" t="s">
        <v>21</v>
      </c>
      <c r="B21" s="5" t="s">
        <v>3</v>
      </c>
      <c r="C21" s="5" t="s">
        <v>4</v>
      </c>
      <c r="D21" s="5" t="s">
        <v>5</v>
      </c>
      <c r="F21" s="12" t="s">
        <v>22</v>
      </c>
      <c r="G21" s="12" t="s">
        <v>23</v>
      </c>
      <c r="H21" s="12" t="s">
        <v>24</v>
      </c>
      <c r="I21" s="12" t="s">
        <v>25</v>
      </c>
      <c r="J21" s="12"/>
      <c r="K21" s="12"/>
      <c r="L21" s="12"/>
    </row>
    <row r="22" spans="1:12">
      <c r="A22" s="2" t="s">
        <v>26</v>
      </c>
      <c r="B22" s="9">
        <f>C22</f>
        <v>250</v>
      </c>
      <c r="C22" s="9">
        <f>'Budget Category'!B22</f>
        <v>250</v>
      </c>
      <c r="D22" s="10">
        <f>C22-B22</f>
        <v>0</v>
      </c>
      <c r="F22" s="17" t="s">
        <v>27</v>
      </c>
      <c r="G22" s="18">
        <f>'Dept Calculator'!B5</f>
        <v>57900</v>
      </c>
      <c r="H22" s="18">
        <f>'Dept Calculator'!B5</f>
        <v>57900</v>
      </c>
      <c r="I22" s="18">
        <f>MAX('Dept Calculator'!B5-'Dept Calculator'!B9,0)</f>
        <v>55900</v>
      </c>
    </row>
    <row r="23" spans="1:12">
      <c r="A23" s="2" t="s">
        <v>28</v>
      </c>
      <c r="B23" s="9">
        <f t="shared" ref="B23:B24" si="3">C23</f>
        <v>100</v>
      </c>
      <c r="C23" s="9">
        <f>'Budget Category'!B23</f>
        <v>100</v>
      </c>
      <c r="D23" s="10">
        <f t="shared" ref="D23:D24" si="4">C23-B23</f>
        <v>0</v>
      </c>
      <c r="F23" s="17" t="s">
        <v>29</v>
      </c>
      <c r="G23" s="18">
        <f>'Dept Calculator'!B7</f>
        <v>1040</v>
      </c>
      <c r="H23" s="18">
        <f>'Dept Calculator'!B7+'Budget Category'!E19</f>
        <v>1244</v>
      </c>
      <c r="I23" s="18">
        <f>H23</f>
        <v>1244</v>
      </c>
    </row>
    <row r="24" spans="1:12">
      <c r="A24" s="2" t="s">
        <v>30</v>
      </c>
      <c r="B24" s="9">
        <f t="shared" si="3"/>
        <v>0</v>
      </c>
      <c r="C24" s="9">
        <f>'Budget Category'!B24</f>
        <v>0</v>
      </c>
      <c r="D24" s="10">
        <f t="shared" si="4"/>
        <v>0</v>
      </c>
      <c r="F24" s="17" t="s">
        <v>31</v>
      </c>
      <c r="G24" s="19">
        <f>'Dept Calculator'!$B$6/12</f>
        <v>6.5750000000000001E-3</v>
      </c>
      <c r="H24" s="19">
        <f>'Dept Calculator'!$B$6/12</f>
        <v>6.5750000000000001E-3</v>
      </c>
      <c r="I24" s="19">
        <f>'Dept Calculator'!$B$6/12</f>
        <v>6.5750000000000001E-3</v>
      </c>
    </row>
    <row r="25" spans="1:12">
      <c r="A25" s="25" t="s">
        <v>9</v>
      </c>
      <c r="B25" s="26">
        <f>SUM(B22:B24)</f>
        <v>350</v>
      </c>
      <c r="C25" s="26">
        <f t="shared" ref="C25:D25" si="5">SUM(C22:C24)</f>
        <v>350</v>
      </c>
      <c r="D25" s="26">
        <f t="shared" si="5"/>
        <v>0</v>
      </c>
      <c r="F25" s="17" t="s">
        <v>32</v>
      </c>
      <c r="G25" s="20">
        <f>IF(G22&lt;=0,0,IF(G23&lt;=G22*G24,"Payment too low",NPER(G24,-G23,G22)))</f>
        <v>69.548701151983224</v>
      </c>
      <c r="H25" s="20">
        <f>IF(H22&lt;=0,0,IF(H23&lt;=H22*H24,"Payment too low",NPER(H24,-H23,H22)))</f>
        <v>55.743877745298178</v>
      </c>
      <c r="I25" s="20">
        <f>IF(I22&lt;=0,0,IF(I23&lt;=I22*I24,"Payment too low",NPER(I24,-I23,I22)))</f>
        <v>53.437122485741739</v>
      </c>
    </row>
    <row r="26" spans="1:12">
      <c r="F26" s="17" t="s">
        <v>33</v>
      </c>
      <c r="G26" s="17">
        <f>IF(ISNUMBER(G25),ROUNDUP(G25,0),"N/A")</f>
        <v>70</v>
      </c>
      <c r="H26" s="17">
        <f>IF(ISNUMBER(H25),ROUNDUP(H25,0),"N/A")</f>
        <v>56</v>
      </c>
      <c r="I26" s="17">
        <f>IF(ISNUMBER(I25),ROUNDUP(I25,0),"N/A")</f>
        <v>54</v>
      </c>
    </row>
    <row r="27" spans="1:12">
      <c r="A27" s="23" t="s">
        <v>34</v>
      </c>
      <c r="B27" s="24">
        <f>B8-B19-B25</f>
        <v>-602</v>
      </c>
      <c r="C27" s="11"/>
      <c r="D27" s="11"/>
      <c r="F27" s="17" t="s">
        <v>35</v>
      </c>
      <c r="G27" s="21" t="str">
        <f>IF(ISNUMBER(G26),INT(G26/12)&amp;" yr "&amp;MOD(G26,12)&amp;" mo","n/a")</f>
        <v>5 yr 10 mo</v>
      </c>
      <c r="H27" s="21" t="str">
        <f>IF(ISNUMBER(H26),INT(H26/12)&amp;" yr "&amp;MOD(H26,12)&amp;" mo","n/a")</f>
        <v>4 yr 8 mo</v>
      </c>
      <c r="I27" s="21" t="str">
        <f>IF(ISNUMBER(I26),INT(I26/12)&amp;" yr "&amp;MOD(I26,12)&amp;" mo","n/a")</f>
        <v>4 yr 6 mo</v>
      </c>
    </row>
    <row r="28" spans="1:12">
      <c r="F28" s="17" t="s">
        <v>36</v>
      </c>
      <c r="G28" s="22">
        <f ca="1">IF(ISNUMBER(G26),EDATE(TODAY(),G26),"n/a")</f>
        <v>48423</v>
      </c>
      <c r="H28" s="22">
        <f t="shared" ref="H28:I28" ca="1" si="6">IF(ISNUMBER(H26),EDATE(TODAY(),H26),"n/a")</f>
        <v>47996</v>
      </c>
      <c r="I28" s="22">
        <f t="shared" ca="1" si="6"/>
        <v>47935</v>
      </c>
    </row>
    <row r="29" spans="1:12">
      <c r="F29" s="17" t="s">
        <v>37</v>
      </c>
      <c r="G29" s="18">
        <f>IF(ISNUMBER(G25),G23*G25-G22,"n/a")</f>
        <v>14430.649198062558</v>
      </c>
      <c r="H29" s="18">
        <f t="shared" ref="H29:I29" si="7">IF(ISNUMBER(H25),H23*H25-H22,"n/a")</f>
        <v>11445.383915150931</v>
      </c>
      <c r="I29" s="18">
        <f t="shared" si="7"/>
        <v>10575.780372262729</v>
      </c>
    </row>
    <row r="30" spans="1:12">
      <c r="F30" s="17" t="s">
        <v>38</v>
      </c>
      <c r="G30" s="21" t="s">
        <v>39</v>
      </c>
      <c r="H30" s="18">
        <f>IF(AND(ISNUMBER($G$29),ISNUMBER(H29)),$G$29-H29,"n/a")</f>
        <v>2985.2652829116269</v>
      </c>
      <c r="I30" s="18">
        <f>IF(AND(ISNUMBER($G$29),ISNUMBER(I29)),$G$29-I29,"n/a")</f>
        <v>3854.8688257998292</v>
      </c>
    </row>
    <row r="31" spans="1:12">
      <c r="F31" s="17" t="s">
        <v>40</v>
      </c>
      <c r="G31" s="21" t="s">
        <v>39</v>
      </c>
      <c r="H31" s="17">
        <f>IF(AND(ISNUMBER($G$26),ISNUMBER(H26)),$G$26-H26,"n/a")</f>
        <v>14</v>
      </c>
      <c r="I31" s="17">
        <f>IF(AND(ISNUMBER($G$26),ISNUMBER(I26)),$G$26-I26,"n/a")</f>
        <v>16</v>
      </c>
    </row>
    <row r="32" spans="1:12">
      <c r="G32" s="14"/>
    </row>
    <row r="33" spans="7:7">
      <c r="G33" s="14"/>
    </row>
    <row r="97" spans="1:2">
      <c r="A97" t="s">
        <v>2</v>
      </c>
      <c r="B97" t="s">
        <v>11</v>
      </c>
    </row>
    <row r="98" spans="1:2">
      <c r="A98" s="9">
        <f>B8</f>
        <v>4000</v>
      </c>
      <c r="B98" s="9">
        <f>B19+B25</f>
        <v>4602</v>
      </c>
    </row>
    <row r="100" spans="1:2">
      <c r="A100" t="s">
        <v>41</v>
      </c>
      <c r="B100" t="s">
        <v>42</v>
      </c>
    </row>
    <row r="101" spans="1:2">
      <c r="A101" s="9">
        <v>4000</v>
      </c>
      <c r="B101" s="9">
        <v>4602</v>
      </c>
    </row>
  </sheetData>
  <mergeCells count="4">
    <mergeCell ref="G2:N2"/>
    <mergeCell ref="A1:M1"/>
    <mergeCell ref="A3:D3"/>
    <mergeCell ref="F20:I20"/>
  </mergeCells>
  <conditionalFormatting sqref="D5:D25">
    <cfRule type="cellIs" dxfId="15" priority="4" operator="lessThan">
      <formula>0</formula>
    </cfRule>
  </conditionalFormatting>
  <conditionalFormatting sqref="D5:D8">
    <cfRule type="cellIs" dxfId="14" priority="3" operator="greaterThan">
      <formula>0</formula>
    </cfRule>
  </conditionalFormatting>
  <conditionalFormatting sqref="D11:D19">
    <cfRule type="cellIs" dxfId="13" priority="2" operator="greaterThan">
      <formula>0</formula>
    </cfRule>
  </conditionalFormatting>
  <conditionalFormatting sqref="D22:D24">
    <cfRule type="cellIs" dxfId="12" priority="1" operator="greaterThan">
      <formula>0</formula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6AD2-3F00-41FA-960B-084D4127DB2A}">
  <dimension ref="A1:N33"/>
  <sheetViews>
    <sheetView showGridLines="0" tabSelected="1" workbookViewId="0">
      <pane ySplit="1" topLeftCell="A2" activePane="bottomLeft" state="frozen"/>
      <selection pane="bottomLeft" activeCell="E18" sqref="C11:E18"/>
    </sheetView>
  </sheetViews>
  <sheetFormatPr defaultRowHeight="18.75"/>
  <cols>
    <col min="1" max="1" width="27" style="1" customWidth="1"/>
    <col min="2" max="5" width="27" customWidth="1"/>
    <col min="8" max="8" width="4.140625" customWidth="1"/>
    <col min="11" max="11" width="24.28515625" style="62" customWidth="1"/>
    <col min="12" max="13" width="24.28515625" style="60" customWidth="1"/>
    <col min="14" max="14" width="24.28515625" style="52" customWidth="1"/>
  </cols>
  <sheetData>
    <row r="1" spans="1:14" ht="28.5" customHeight="1">
      <c r="A1" s="30" t="s">
        <v>43</v>
      </c>
      <c r="B1" s="30"/>
      <c r="H1" s="40"/>
      <c r="K1" s="29" t="s">
        <v>44</v>
      </c>
      <c r="L1" s="29"/>
      <c r="M1" s="29"/>
      <c r="N1" s="29"/>
    </row>
    <row r="2" spans="1:14" ht="15">
      <c r="H2" s="40"/>
      <c r="K2" s="44"/>
      <c r="L2" s="45"/>
      <c r="M2" s="46"/>
      <c r="N2" s="7"/>
    </row>
    <row r="3" spans="1:14">
      <c r="H3" s="40"/>
      <c r="K3" s="58" t="s">
        <v>45</v>
      </c>
      <c r="L3" s="59" t="s">
        <v>46</v>
      </c>
      <c r="M3" s="60" t="s">
        <v>47</v>
      </c>
      <c r="N3" s="63" t="s">
        <v>48</v>
      </c>
    </row>
    <row r="4" spans="1:14" ht="26.25">
      <c r="A4" s="31" t="s">
        <v>2</v>
      </c>
      <c r="B4" s="32" t="s">
        <v>49</v>
      </c>
      <c r="H4" s="40"/>
      <c r="K4" s="58">
        <v>46267</v>
      </c>
      <c r="L4" s="59" t="s">
        <v>11</v>
      </c>
      <c r="M4" s="60" t="s">
        <v>18</v>
      </c>
      <c r="N4" s="61">
        <v>150</v>
      </c>
    </row>
    <row r="5" spans="1:14">
      <c r="A5" s="34" t="s">
        <v>6</v>
      </c>
      <c r="B5" s="47">
        <v>4000</v>
      </c>
      <c r="H5" s="40"/>
      <c r="K5" s="58">
        <v>46268</v>
      </c>
      <c r="L5" s="59" t="s">
        <v>11</v>
      </c>
      <c r="M5" s="60" t="s">
        <v>16</v>
      </c>
      <c r="N5" s="61">
        <v>200</v>
      </c>
    </row>
    <row r="6" spans="1:14">
      <c r="A6" s="35" t="s">
        <v>7</v>
      </c>
      <c r="B6" s="47">
        <v>0</v>
      </c>
      <c r="H6" s="40"/>
      <c r="K6" s="58">
        <v>46269</v>
      </c>
      <c r="L6" s="59" t="s">
        <v>11</v>
      </c>
      <c r="M6" s="60" t="s">
        <v>14</v>
      </c>
      <c r="N6" s="61">
        <v>140</v>
      </c>
    </row>
    <row r="7" spans="1:14">
      <c r="A7" s="34" t="s">
        <v>8</v>
      </c>
      <c r="B7" s="48">
        <v>0</v>
      </c>
      <c r="H7" s="40"/>
      <c r="K7" s="58">
        <v>46270</v>
      </c>
      <c r="L7" s="59" t="s">
        <v>11</v>
      </c>
      <c r="M7" s="60" t="s">
        <v>13</v>
      </c>
      <c r="N7" s="61">
        <v>500</v>
      </c>
    </row>
    <row r="8" spans="1:14">
      <c r="A8" s="42" t="s">
        <v>9</v>
      </c>
      <c r="B8" s="49">
        <f>SUM(B5:B7)</f>
        <v>4000</v>
      </c>
      <c r="H8" s="40"/>
      <c r="K8" s="58">
        <v>46271</v>
      </c>
      <c r="L8" s="59" t="s">
        <v>11</v>
      </c>
      <c r="M8" s="60" t="s">
        <v>13</v>
      </c>
      <c r="N8" s="61">
        <v>300</v>
      </c>
    </row>
    <row r="9" spans="1:14">
      <c r="A9" s="6"/>
      <c r="B9" s="8"/>
      <c r="H9" s="40"/>
      <c r="K9" s="58">
        <v>46272</v>
      </c>
      <c r="L9" s="59" t="s">
        <v>11</v>
      </c>
      <c r="M9" s="60" t="s">
        <v>15</v>
      </c>
      <c r="N9" s="61">
        <v>380</v>
      </c>
    </row>
    <row r="10" spans="1:14" ht="26.25">
      <c r="A10" s="31" t="s">
        <v>11</v>
      </c>
      <c r="B10" s="32" t="s">
        <v>49</v>
      </c>
      <c r="C10" s="41" t="s">
        <v>50</v>
      </c>
      <c r="D10" s="41" t="s">
        <v>51</v>
      </c>
      <c r="E10" s="41" t="s">
        <v>52</v>
      </c>
      <c r="H10" s="40"/>
      <c r="K10" s="58">
        <v>46273</v>
      </c>
      <c r="L10" s="59" t="s">
        <v>11</v>
      </c>
      <c r="M10" s="60" t="s">
        <v>12</v>
      </c>
      <c r="N10" s="61">
        <v>42</v>
      </c>
    </row>
    <row r="11" spans="1:14">
      <c r="A11" s="36" t="s">
        <v>12</v>
      </c>
      <c r="B11" s="50">
        <v>700</v>
      </c>
      <c r="C11" s="70" t="s">
        <v>53</v>
      </c>
      <c r="D11" s="71">
        <f>IF(C11="Y",B11*(1-'Dept Calculator'!$B$8),B11)</f>
        <v>630</v>
      </c>
      <c r="E11" s="71">
        <f>B11-D11</f>
        <v>70</v>
      </c>
      <c r="H11" s="40"/>
      <c r="K11" s="58">
        <v>46274</v>
      </c>
      <c r="L11" s="59" t="s">
        <v>11</v>
      </c>
      <c r="M11" s="60" t="s">
        <v>15</v>
      </c>
      <c r="N11" s="61">
        <v>440</v>
      </c>
    </row>
    <row r="12" spans="1:14">
      <c r="A12" s="37" t="s">
        <v>13</v>
      </c>
      <c r="B12" s="50">
        <v>190</v>
      </c>
      <c r="C12" s="70" t="s">
        <v>53</v>
      </c>
      <c r="D12" s="71">
        <f>IF(C12="Y",B12*(1-'Dept Calculator'!$B$8),B12)</f>
        <v>171</v>
      </c>
      <c r="E12" s="71">
        <f t="shared" ref="E12:E18" si="0">B12-D12</f>
        <v>19</v>
      </c>
      <c r="H12" s="40"/>
      <c r="K12" s="58">
        <v>46275</v>
      </c>
      <c r="L12" s="59" t="s">
        <v>11</v>
      </c>
      <c r="M12" s="60" t="s">
        <v>12</v>
      </c>
      <c r="N12" s="61">
        <v>300</v>
      </c>
    </row>
    <row r="13" spans="1:14">
      <c r="A13" s="36" t="s">
        <v>14</v>
      </c>
      <c r="B13" s="50">
        <v>800</v>
      </c>
      <c r="C13" s="70" t="s">
        <v>53</v>
      </c>
      <c r="D13" s="71">
        <f>IF(C13="Y",B13*(1-'Dept Calculator'!$B$8),B13)</f>
        <v>720</v>
      </c>
      <c r="E13" s="71">
        <f t="shared" si="0"/>
        <v>80</v>
      </c>
      <c r="H13" s="40"/>
      <c r="K13" s="58">
        <v>46276</v>
      </c>
      <c r="L13" s="59" t="s">
        <v>11</v>
      </c>
      <c r="M13" s="60" t="s">
        <v>12</v>
      </c>
      <c r="N13" s="61">
        <v>300</v>
      </c>
    </row>
    <row r="14" spans="1:14">
      <c r="A14" s="37" t="s">
        <v>15</v>
      </c>
      <c r="B14" s="50">
        <v>350</v>
      </c>
      <c r="C14" s="70" t="s">
        <v>53</v>
      </c>
      <c r="D14" s="71">
        <f>IF(C14="Y",B14*(1-'Dept Calculator'!$B$8),B14)</f>
        <v>315</v>
      </c>
      <c r="E14" s="71">
        <f t="shared" si="0"/>
        <v>35</v>
      </c>
      <c r="H14" s="40"/>
      <c r="K14" s="58">
        <v>46277</v>
      </c>
      <c r="L14" s="59" t="s">
        <v>11</v>
      </c>
      <c r="M14" s="60" t="s">
        <v>12</v>
      </c>
      <c r="N14" s="61">
        <v>100</v>
      </c>
    </row>
    <row r="15" spans="1:14">
      <c r="A15" s="36" t="s">
        <v>16</v>
      </c>
      <c r="B15" s="50">
        <v>60</v>
      </c>
      <c r="C15" s="70" t="s">
        <v>54</v>
      </c>
      <c r="D15" s="71">
        <f>IF(C15="Y",B15*(1-'Dept Calculator'!$B$8),B15)</f>
        <v>60</v>
      </c>
      <c r="E15" s="71">
        <f t="shared" si="0"/>
        <v>0</v>
      </c>
      <c r="H15" s="40"/>
      <c r="K15" s="58">
        <v>46278</v>
      </c>
      <c r="L15" s="59" t="s">
        <v>2</v>
      </c>
      <c r="M15" s="60" t="s">
        <v>6</v>
      </c>
      <c r="N15" s="61">
        <v>4000</v>
      </c>
    </row>
    <row r="16" spans="1:14">
      <c r="A16" s="37" t="s">
        <v>17</v>
      </c>
      <c r="B16" s="50">
        <v>600</v>
      </c>
      <c r="C16" s="70" t="s">
        <v>54</v>
      </c>
      <c r="D16" s="71">
        <f>IF(C16="Y",B16*(1-'Dept Calculator'!$B$8),B16)</f>
        <v>600</v>
      </c>
      <c r="E16" s="71">
        <f t="shared" si="0"/>
        <v>0</v>
      </c>
      <c r="H16" s="40"/>
      <c r="K16" s="58">
        <v>46279</v>
      </c>
      <c r="L16" s="59" t="s">
        <v>2</v>
      </c>
      <c r="M16" s="60" t="s">
        <v>7</v>
      </c>
      <c r="N16" s="61"/>
    </row>
    <row r="17" spans="1:14">
      <c r="A17" s="36" t="s">
        <v>18</v>
      </c>
      <c r="B17" s="50">
        <v>150</v>
      </c>
      <c r="C17" s="70" t="s">
        <v>54</v>
      </c>
      <c r="D17" s="71">
        <f>IF(C17="Y",B17*(1-'Dept Calculator'!$B$8),B17)</f>
        <v>150</v>
      </c>
      <c r="E17" s="71">
        <f t="shared" si="0"/>
        <v>0</v>
      </c>
      <c r="H17" s="40"/>
      <c r="K17" s="58">
        <v>46280</v>
      </c>
      <c r="L17" s="59" t="s">
        <v>11</v>
      </c>
      <c r="M17" s="60" t="s">
        <v>17</v>
      </c>
      <c r="N17" s="61">
        <v>400</v>
      </c>
    </row>
    <row r="18" spans="1:14">
      <c r="A18" s="37" t="s">
        <v>19</v>
      </c>
      <c r="B18" s="51">
        <v>800</v>
      </c>
      <c r="C18" s="70" t="s">
        <v>54</v>
      </c>
      <c r="D18" s="71">
        <f>IF(C18="Y",B18*(1-'Dept Calculator'!$B$8),B18)</f>
        <v>800</v>
      </c>
      <c r="E18" s="71">
        <f t="shared" si="0"/>
        <v>0</v>
      </c>
      <c r="H18" s="40"/>
      <c r="K18" s="58">
        <v>46281</v>
      </c>
      <c r="L18" s="59" t="s">
        <v>11</v>
      </c>
      <c r="M18" s="60" t="s">
        <v>19</v>
      </c>
      <c r="N18" s="61">
        <v>1000</v>
      </c>
    </row>
    <row r="19" spans="1:14">
      <c r="A19" s="42" t="s">
        <v>9</v>
      </c>
      <c r="B19" s="49">
        <f>SUM(B11:B18)</f>
        <v>3650</v>
      </c>
      <c r="C19" s="52"/>
      <c r="D19" s="53">
        <f>SUM(D11:D18)</f>
        <v>3446</v>
      </c>
      <c r="E19" s="54">
        <f>SUM(E11:E18)</f>
        <v>204</v>
      </c>
      <c r="H19" s="40"/>
      <c r="K19" s="58">
        <v>46282</v>
      </c>
      <c r="L19" s="59"/>
      <c r="N19" s="61"/>
    </row>
    <row r="20" spans="1:14">
      <c r="A20" s="6"/>
      <c r="H20" s="40"/>
      <c r="K20" s="58"/>
      <c r="L20" s="59"/>
      <c r="N20" s="61"/>
    </row>
    <row r="21" spans="1:14" ht="26.25">
      <c r="A21" s="31" t="s">
        <v>21</v>
      </c>
      <c r="B21" s="32" t="s">
        <v>49</v>
      </c>
      <c r="H21" s="40"/>
      <c r="K21" s="58"/>
      <c r="L21" s="59"/>
      <c r="N21" s="61"/>
    </row>
    <row r="22" spans="1:14">
      <c r="A22" s="38" t="s">
        <v>26</v>
      </c>
      <c r="B22" s="55">
        <v>250</v>
      </c>
      <c r="H22" s="40"/>
      <c r="K22" s="58"/>
      <c r="L22" s="59"/>
      <c r="N22" s="61"/>
    </row>
    <row r="23" spans="1:14">
      <c r="A23" s="39" t="s">
        <v>28</v>
      </c>
      <c r="B23" s="55">
        <v>100</v>
      </c>
      <c r="H23" s="40"/>
      <c r="K23" s="58"/>
      <c r="L23" s="59"/>
      <c r="N23" s="61"/>
    </row>
    <row r="24" spans="1:14">
      <c r="A24" s="38" t="s">
        <v>30</v>
      </c>
      <c r="B24" s="56">
        <v>0</v>
      </c>
      <c r="H24" s="40"/>
    </row>
    <row r="25" spans="1:14">
      <c r="A25" s="42" t="s">
        <v>9</v>
      </c>
      <c r="B25" s="49">
        <f>SUM(B22:B24)</f>
        <v>350</v>
      </c>
      <c r="H25" s="40"/>
    </row>
    <row r="26" spans="1:14">
      <c r="H26" s="40"/>
    </row>
    <row r="27" spans="1:14" ht="26.25">
      <c r="B27" s="33" t="s">
        <v>55</v>
      </c>
      <c r="H27" s="40"/>
    </row>
    <row r="28" spans="1:14">
      <c r="B28" s="43" t="s">
        <v>56</v>
      </c>
      <c r="H28" s="40"/>
    </row>
    <row r="29" spans="1:14">
      <c r="B29" s="57">
        <f>B8-B19-B25</f>
        <v>0</v>
      </c>
      <c r="H29" s="40"/>
    </row>
    <row r="30" spans="1:14">
      <c r="H30" s="40"/>
    </row>
    <row r="31" spans="1:14">
      <c r="H31" s="40"/>
    </row>
    <row r="32" spans="1:14">
      <c r="H32" s="40"/>
    </row>
    <row r="33" spans="8:8">
      <c r="H33" s="40"/>
    </row>
  </sheetData>
  <mergeCells count="2">
    <mergeCell ref="A1:B1"/>
    <mergeCell ref="K1:N1"/>
  </mergeCells>
  <dataValidations count="2">
    <dataValidation type="list" allowBlank="1" showInputMessage="1" showErrorMessage="1" sqref="L4:L23" xr:uid="{E99081CC-7FDE-49E6-8001-205ABAB468B7}">
      <formula1>"Income,Expense"</formula1>
    </dataValidation>
    <dataValidation type="list" allowBlank="1" showInputMessage="1" showErrorMessage="1" sqref="M4:M23" xr:uid="{D7D67327-1522-4CDE-AEF9-F023891F30EC}">
      <formula1>"Employment,Side Hustle,Passive Income,Food,Transportation,Car,Dept,Phone Service,Credit,Body Care,Groceries"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2F89-AECB-4192-8606-2422E5CDB991}">
  <dimension ref="A1:C9"/>
  <sheetViews>
    <sheetView workbookViewId="0">
      <selection activeCell="N11" sqref="N11"/>
    </sheetView>
  </sheetViews>
  <sheetFormatPr defaultRowHeight="15"/>
  <cols>
    <col min="1" max="1" width="44.140625" customWidth="1"/>
    <col min="2" max="2" width="18" customWidth="1"/>
    <col min="3" max="3" width="29.5703125" customWidth="1"/>
  </cols>
  <sheetData>
    <row r="1" spans="1:3" ht="31.5">
      <c r="A1" s="64" t="s">
        <v>57</v>
      </c>
    </row>
    <row r="4" spans="1:3" ht="18.75">
      <c r="A4" s="65" t="s">
        <v>58</v>
      </c>
    </row>
    <row r="5" spans="1:3" ht="18.75">
      <c r="A5" s="69" t="s">
        <v>59</v>
      </c>
      <c r="B5" s="66">
        <v>57900</v>
      </c>
      <c r="C5" s="13"/>
    </row>
    <row r="6" spans="1:3" ht="18.75">
      <c r="A6" s="69" t="s">
        <v>60</v>
      </c>
      <c r="B6" s="67">
        <v>7.8899999999999998E-2</v>
      </c>
    </row>
    <row r="7" spans="1:3" ht="18.75">
      <c r="A7" s="69" t="s">
        <v>61</v>
      </c>
      <c r="B7" s="68">
        <v>1040</v>
      </c>
    </row>
    <row r="8" spans="1:3" ht="18.75">
      <c r="A8" s="69" t="s">
        <v>62</v>
      </c>
      <c r="B8" s="67">
        <v>0.1</v>
      </c>
    </row>
    <row r="9" spans="1:3" ht="18.75">
      <c r="A9" s="69" t="s">
        <v>63</v>
      </c>
      <c r="B9" s="68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2026-09-23T01:46:09Z</dcterms:created>
  <dcterms:modified xsi:type="dcterms:W3CDTF">2026-09-29T01:20:19Z</dcterms:modified>
  <cp:category/>
  <cp:contentStatus/>
</cp:coreProperties>
</file>